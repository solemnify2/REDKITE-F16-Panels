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kimhy\문서\SynologyDrive\개인\# 취미\Falcon4\Cockpit\Redkite Project\"/>
    </mc:Choice>
  </mc:AlternateContent>
  <xr:revisionPtr revIDLastSave="0" documentId="13_ncr:1_{AFBD03BD-04C4-4CB1-91C9-8793BA9CC2EA}" xr6:coauthVersionLast="47" xr6:coauthVersionMax="47" xr10:uidLastSave="{00000000-0000-0000-0000-000000000000}"/>
  <bookViews>
    <workbookView xWindow="45210" yWindow="240" windowWidth="31455" windowHeight="20505" xr2:uid="{00000000-000D-0000-FFFF-FFFF00000000}"/>
  </bookViews>
  <sheets>
    <sheet name="Sheet3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0" i="3" l="1"/>
  <c r="J19" i="3"/>
  <c r="M19" i="3"/>
  <c r="M20" i="3"/>
  <c r="I20" i="3"/>
  <c r="F20" i="3"/>
  <c r="E20" i="3"/>
  <c r="C20" i="3"/>
  <c r="H19" i="3"/>
  <c r="F19" i="3" l="1"/>
  <c r="K22" i="3"/>
  <c r="K23" i="3"/>
  <c r="G22" i="3"/>
  <c r="E19" i="3"/>
  <c r="G19" i="3"/>
  <c r="G20" i="3" s="1"/>
  <c r="I19" i="3"/>
  <c r="L19" i="3"/>
  <c r="O19" i="3"/>
  <c r="O20" i="3" s="1"/>
  <c r="P19" i="3"/>
  <c r="P20" i="3" s="1"/>
  <c r="C19" i="3"/>
  <c r="H16" i="2"/>
  <c r="H17" i="2"/>
  <c r="H18" i="2"/>
  <c r="G15" i="2"/>
  <c r="E12" i="2"/>
  <c r="E11" i="2"/>
  <c r="F11" i="2" s="1"/>
  <c r="G11" i="2" s="1"/>
  <c r="G16" i="2" s="1"/>
  <c r="F12" i="2"/>
  <c r="G12" i="2" s="1"/>
  <c r="H15" i="2" s="1"/>
  <c r="E29" i="2"/>
  <c r="E25" i="2"/>
  <c r="E23" i="2"/>
  <c r="Q38" i="3"/>
  <c r="Q36" i="3"/>
  <c r="Q35" i="3"/>
  <c r="Q34" i="3"/>
  <c r="Q33" i="3"/>
  <c r="Q32" i="3"/>
  <c r="Q31" i="3"/>
  <c r="Q30" i="3"/>
  <c r="Q29" i="3"/>
  <c r="Q28" i="3"/>
  <c r="Q27" i="3"/>
  <c r="Q26" i="3"/>
  <c r="Q25" i="3"/>
  <c r="P24" i="3"/>
  <c r="O24" i="3"/>
  <c r="L24" i="3"/>
  <c r="K24" i="3"/>
  <c r="I24" i="3"/>
  <c r="G24" i="3"/>
  <c r="E24" i="3"/>
  <c r="C24" i="3"/>
  <c r="P23" i="3"/>
  <c r="O23" i="3"/>
  <c r="L23" i="3"/>
  <c r="I23" i="3"/>
  <c r="H23" i="3"/>
  <c r="G23" i="3"/>
  <c r="F23" i="3"/>
  <c r="E23" i="3"/>
  <c r="C23" i="3"/>
  <c r="P22" i="3"/>
  <c r="O22" i="3"/>
  <c r="L22" i="3"/>
  <c r="I22" i="3"/>
  <c r="H22" i="3"/>
  <c r="F22" i="3"/>
  <c r="E22" i="3"/>
  <c r="C22" i="3"/>
  <c r="H21" i="3"/>
  <c r="H24" i="3" s="1"/>
  <c r="F21" i="3"/>
  <c r="Q21" i="3" s="1"/>
  <c r="Q18" i="3"/>
  <c r="R18" i="3" s="1"/>
  <c r="Q17" i="3"/>
  <c r="R17" i="3" s="1"/>
  <c r="Q16" i="3"/>
  <c r="R16" i="3" s="1"/>
  <c r="Q15" i="3"/>
  <c r="R15" i="3" s="1"/>
  <c r="Q14" i="3"/>
  <c r="R14" i="3" s="1"/>
  <c r="Q13" i="3"/>
  <c r="R13" i="3" s="1"/>
  <c r="Q12" i="3"/>
  <c r="R12" i="3" s="1"/>
  <c r="Q11" i="3"/>
  <c r="R11" i="3" s="1"/>
  <c r="Q10" i="3"/>
  <c r="R10" i="3" s="1"/>
  <c r="Q9" i="3"/>
  <c r="R9" i="3" s="1"/>
  <c r="Q8" i="3"/>
  <c r="R8" i="3" s="1"/>
  <c r="Q7" i="3"/>
  <c r="R7" i="3" s="1"/>
  <c r="Q6" i="3"/>
  <c r="R6" i="3" s="1"/>
  <c r="Q4" i="3"/>
  <c r="R4" i="3" s="1"/>
  <c r="Q3" i="3"/>
  <c r="R3" i="3" s="1"/>
  <c r="Q2" i="3"/>
  <c r="R2" i="3" s="1"/>
  <c r="E4" i="2"/>
  <c r="E3" i="2"/>
  <c r="E40" i="3" l="1"/>
  <c r="G18" i="2"/>
  <c r="G17" i="2"/>
  <c r="F24" i="3"/>
  <c r="Q24" i="3" s="1"/>
  <c r="R37" i="3"/>
  <c r="Q23" i="3"/>
  <c r="Q22" i="3"/>
  <c r="E26" i="2"/>
</calcChain>
</file>

<file path=xl/sharedStrings.xml><?xml version="1.0" encoding="utf-8"?>
<sst xmlns="http://schemas.openxmlformats.org/spreadsheetml/2006/main" count="103" uniqueCount="97">
  <si>
    <t>MISC</t>
  </si>
  <si>
    <t>Gear</t>
  </si>
  <si>
    <t>CMDS</t>
  </si>
  <si>
    <t>TWA</t>
  </si>
  <si>
    <t>Alt Gear</t>
  </si>
  <si>
    <t>ECM</t>
  </si>
  <si>
    <t>ELEC</t>
  </si>
  <si>
    <t>SENSOR</t>
  </si>
  <si>
    <t>HUD</t>
  </si>
  <si>
    <t>On-Off</t>
  </si>
  <si>
    <t>On-Off_On</t>
  </si>
  <si>
    <t>3mm Led</t>
  </si>
  <si>
    <t>R</t>
  </si>
  <si>
    <t>G</t>
  </si>
  <si>
    <t>B</t>
  </si>
  <si>
    <t>5mm Led</t>
  </si>
  <si>
    <t>Y</t>
  </si>
  <si>
    <t>2.2k</t>
  </si>
  <si>
    <t>10k</t>
  </si>
  <si>
    <t>tactile</t>
  </si>
  <si>
    <t>6x6x4.5</t>
  </si>
  <si>
    <t>Brass Insert</t>
  </si>
  <si>
    <t>M3x5x5</t>
  </si>
  <si>
    <t>Screws</t>
  </si>
  <si>
    <t>M3x6</t>
  </si>
  <si>
    <t>Shift Reg</t>
  </si>
  <si>
    <t>74HC595D</t>
  </si>
  <si>
    <t>Ceramic Cap</t>
  </si>
  <si>
    <t>1nF</t>
  </si>
  <si>
    <t>Pin Header</t>
  </si>
  <si>
    <t>Push</t>
  </si>
  <si>
    <t>7mm</t>
  </si>
  <si>
    <t>Rotary</t>
  </si>
  <si>
    <t>5 pos</t>
  </si>
  <si>
    <t>6 pos</t>
  </si>
  <si>
    <t>M3x6x5</t>
  </si>
  <si>
    <t>Limit</t>
  </si>
  <si>
    <t>12.8x6.5</t>
  </si>
  <si>
    <t>M2x12 너트</t>
  </si>
  <si>
    <t>M3x10</t>
  </si>
  <si>
    <t>Magnet</t>
  </si>
  <si>
    <t>15x3</t>
  </si>
  <si>
    <t>30x6 rod</t>
  </si>
  <si>
    <t>고휘도G</t>
  </si>
  <si>
    <t>HMCS</t>
  </si>
  <si>
    <t>3v led (g)</t>
  </si>
  <si>
    <t>2v led (r,y)</t>
  </si>
  <si>
    <t>R, Y(150)</t>
  </si>
  <si>
    <t>B, G(100)</t>
  </si>
  <si>
    <t>1k (rk097)</t>
  </si>
  <si>
    <t>Total</t>
  </si>
  <si>
    <t>Signals</t>
  </si>
  <si>
    <t>Dupon Line</t>
  </si>
  <si>
    <t>고휘도G (150)</t>
  </si>
  <si>
    <t>5v 전원</t>
  </si>
  <si>
    <t>12v전원</t>
  </si>
  <si>
    <t>1 led + 1 res</t>
  </si>
  <si>
    <t>백라이트</t>
  </si>
  <si>
    <t>시그널</t>
  </si>
  <si>
    <t>Toggle</t>
    <phoneticPr fontId="1" type="noConversion"/>
  </si>
  <si>
    <t>Led Resistor</t>
    <phoneticPr fontId="1" type="noConversion"/>
  </si>
  <si>
    <t>SMD Res 1206</t>
    <phoneticPr fontId="1" type="noConversion"/>
  </si>
  <si>
    <t xml:space="preserve">3 led + 1 res </t>
    <phoneticPr fontId="1" type="noConversion"/>
  </si>
  <si>
    <t>결선</t>
    <phoneticPr fontId="1" type="noConversion"/>
  </si>
  <si>
    <t>종류</t>
    <phoneticPr fontId="1" type="noConversion"/>
  </si>
  <si>
    <t>충분?</t>
    <phoneticPr fontId="1" type="noConversion"/>
  </si>
  <si>
    <t>매우밝음</t>
    <phoneticPr fontId="1" type="noConversion"/>
  </si>
  <si>
    <t>USB2.0 12v
(160mA)</t>
    <phoneticPr fontId="1" type="noConversion"/>
  </si>
  <si>
    <t>저항(옴)</t>
    <phoneticPr fontId="1" type="noConversion"/>
  </si>
  <si>
    <t>밝기</t>
    <phoneticPr fontId="1" type="noConversion"/>
  </si>
  <si>
    <t>스트링당 
전류(mA)</t>
    <phoneticPr fontId="1" type="noConversion"/>
  </si>
  <si>
    <t>밝음?</t>
    <phoneticPr fontId="1" type="noConversion"/>
  </si>
  <si>
    <t>USB3.0
12v (300mA)</t>
    <phoneticPr fontId="1" type="noConversion"/>
  </si>
  <si>
    <t>MISC</t>
    <phoneticPr fontId="1" type="noConversion"/>
  </si>
  <si>
    <t>CMDS</t>
    <phoneticPr fontId="1" type="noConversion"/>
  </si>
  <si>
    <t>Gear</t>
    <phoneticPr fontId="1" type="noConversion"/>
  </si>
  <si>
    <t>TWA</t>
    <phoneticPr fontId="1" type="noConversion"/>
  </si>
  <si>
    <t>HMCS</t>
    <phoneticPr fontId="1" type="noConversion"/>
  </si>
  <si>
    <t>ECM</t>
    <phoneticPr fontId="1" type="noConversion"/>
  </si>
  <si>
    <t>ELEC</t>
    <phoneticPr fontId="1" type="noConversion"/>
  </si>
  <si>
    <t>Left Aux</t>
    <phoneticPr fontId="1" type="noConversion"/>
  </si>
  <si>
    <t>Left</t>
    <phoneticPr fontId="1" type="noConversion"/>
  </si>
  <si>
    <t>부스트 효율</t>
    <phoneticPr fontId="1" type="noConversion"/>
  </si>
  <si>
    <t>5v 전력</t>
    <phoneticPr fontId="1" type="noConversion"/>
  </si>
  <si>
    <t>12v 전력</t>
    <phoneticPr fontId="1" type="noConversion"/>
  </si>
  <si>
    <t>12v 전류</t>
    <phoneticPr fontId="1" type="noConversion"/>
  </si>
  <si>
    <t>5v 전류 (mA)</t>
    <phoneticPr fontId="1" type="noConversion"/>
  </si>
  <si>
    <t>Teensy 소모 (mA)</t>
    <phoneticPr fontId="1" type="noConversion"/>
  </si>
  <si>
    <t>USB2.0
(160mA)</t>
    <phoneticPr fontId="1" type="noConversion"/>
  </si>
  <si>
    <t>USB3.0 (300mA)</t>
    <phoneticPr fontId="1" type="noConversion"/>
  </si>
  <si>
    <t>USB 2.0으로 충분</t>
    <phoneticPr fontId="1" type="noConversion"/>
  </si>
  <si>
    <t>추가시 별도 12v 어댑터 필요?</t>
    <phoneticPr fontId="1" type="noConversion"/>
  </si>
  <si>
    <t>USB 3.0으로 여기까지 커버 가능 (단, 200옴 이상 쓴다면)</t>
    <phoneticPr fontId="1" type="noConversion"/>
  </si>
  <si>
    <t>Korry</t>
    <phoneticPr fontId="1" type="noConversion"/>
  </si>
  <si>
    <t>Full</t>
    <phoneticPr fontId="1" type="noConversion"/>
  </si>
  <si>
    <t>Signals (Full)</t>
    <phoneticPr fontId="1" type="noConversion"/>
  </si>
  <si>
    <t>Signals (Min)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</si>
</sst>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3" fillId="0" borderId="0" xfId="0" applyFont="1"/>
    <xf numFmtId="41" fontId="0" fillId="0" borderId="0" xfId="1" applyFont="1" applyAlignment="1"/>
    <xf numFmtId="41" fontId="3" fillId="0" borderId="0" xfId="1" applyFont="1" applyAlignment="1"/>
    <xf numFmtId="9" fontId="0" fillId="0" borderId="0" xfId="0" applyNumberFormat="1"/>
    <xf numFmtId="2" fontId="0" fillId="0" borderId="0" xfId="0" applyNumberFormat="1"/>
    <xf numFmtId="1" fontId="0" fillId="0" borderId="0" xfId="0" applyNumberFormat="1"/>
    <xf numFmtId="1" fontId="3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2" xfId="0" applyFill="1" applyBorder="1"/>
    <xf numFmtId="0" fontId="0" fillId="3" borderId="7" xfId="0" applyFill="1" applyBorder="1"/>
    <xf numFmtId="0" fontId="0" fillId="3" borderId="0" xfId="0" applyFill="1" applyBorder="1"/>
    <xf numFmtId="0" fontId="0" fillId="3" borderId="8" xfId="0" applyFill="1" applyBorder="1"/>
    <xf numFmtId="0" fontId="0" fillId="3" borderId="2" xfId="0" applyFill="1" applyBorder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FA25-DD66-43BD-896D-8AC295BEFC0C}">
  <dimension ref="A1:R40"/>
  <sheetViews>
    <sheetView tabSelected="1" workbookViewId="0">
      <selection activeCell="G23" sqref="G23"/>
    </sheetView>
  </sheetViews>
  <sheetFormatPr defaultRowHeight="16.5" x14ac:dyDescent="0.3"/>
  <cols>
    <col min="1" max="1" width="14.625" bestFit="1" customWidth="1"/>
    <col min="2" max="2" width="13.75" bestFit="1" customWidth="1"/>
  </cols>
  <sheetData>
    <row r="1" spans="1:18" x14ac:dyDescent="0.3">
      <c r="C1" s="10" t="s">
        <v>0</v>
      </c>
      <c r="D1" s="13"/>
      <c r="E1" s="13" t="s">
        <v>1</v>
      </c>
      <c r="F1" s="14" t="s">
        <v>2</v>
      </c>
      <c r="G1" s="14" t="s">
        <v>44</v>
      </c>
      <c r="H1" s="14" t="s">
        <v>3</v>
      </c>
      <c r="I1" s="15" t="s">
        <v>4</v>
      </c>
      <c r="J1" s="15"/>
      <c r="K1" s="10" t="s">
        <v>5</v>
      </c>
      <c r="L1" s="10" t="s">
        <v>6</v>
      </c>
      <c r="M1" s="17"/>
      <c r="N1" s="17"/>
      <c r="O1" t="s">
        <v>7</v>
      </c>
      <c r="P1" t="s">
        <v>8</v>
      </c>
      <c r="Q1" t="s">
        <v>50</v>
      </c>
      <c r="R1" t="s">
        <v>51</v>
      </c>
    </row>
    <row r="2" spans="1:18" x14ac:dyDescent="0.3">
      <c r="A2" t="s">
        <v>59</v>
      </c>
      <c r="B2" t="s">
        <v>9</v>
      </c>
      <c r="C2" s="11">
        <v>1</v>
      </c>
      <c r="D2" s="16"/>
      <c r="E2" s="16">
        <v>4</v>
      </c>
      <c r="F2" s="17">
        <v>8</v>
      </c>
      <c r="G2" s="17"/>
      <c r="H2" s="17"/>
      <c r="I2" s="18"/>
      <c r="J2" s="18"/>
      <c r="K2" s="11"/>
      <c r="L2" s="11"/>
      <c r="M2" s="17"/>
      <c r="N2" s="17"/>
      <c r="O2">
        <v>3</v>
      </c>
      <c r="Q2">
        <f t="shared" ref="Q2:Q36" si="0">SUM(C2:P2)</f>
        <v>16</v>
      </c>
      <c r="R2">
        <f>Q2</f>
        <v>16</v>
      </c>
    </row>
    <row r="3" spans="1:18" x14ac:dyDescent="0.3">
      <c r="B3" t="s">
        <v>10</v>
      </c>
      <c r="C3" s="11">
        <v>4</v>
      </c>
      <c r="D3" s="16"/>
      <c r="E3" s="16">
        <v>2</v>
      </c>
      <c r="F3" s="17"/>
      <c r="G3" s="17"/>
      <c r="H3" s="17"/>
      <c r="I3" s="18"/>
      <c r="J3" s="18"/>
      <c r="K3" s="11">
        <v>2</v>
      </c>
      <c r="L3" s="11">
        <v>1</v>
      </c>
      <c r="M3" s="17"/>
      <c r="N3" s="17"/>
      <c r="O3">
        <v>1</v>
      </c>
      <c r="P3">
        <v>8</v>
      </c>
      <c r="Q3">
        <f t="shared" si="0"/>
        <v>18</v>
      </c>
      <c r="R3">
        <f>Q3*2</f>
        <v>36</v>
      </c>
    </row>
    <row r="4" spans="1:18" x14ac:dyDescent="0.3">
      <c r="A4" t="s">
        <v>30</v>
      </c>
      <c r="B4" t="s">
        <v>31</v>
      </c>
      <c r="C4" s="11">
        <v>1</v>
      </c>
      <c r="D4" s="16"/>
      <c r="E4" s="16"/>
      <c r="F4" s="17">
        <v>4</v>
      </c>
      <c r="G4" s="17"/>
      <c r="H4" s="17"/>
      <c r="I4" s="18">
        <v>1</v>
      </c>
      <c r="J4" s="18"/>
      <c r="K4" s="11">
        <v>2</v>
      </c>
      <c r="L4" s="11">
        <v>1</v>
      </c>
      <c r="M4" s="17"/>
      <c r="N4" s="17"/>
      <c r="Q4">
        <f t="shared" si="0"/>
        <v>9</v>
      </c>
      <c r="R4">
        <f>Q4</f>
        <v>9</v>
      </c>
    </row>
    <row r="5" spans="1:18" x14ac:dyDescent="0.3">
      <c r="A5" t="s">
        <v>93</v>
      </c>
      <c r="C5" s="11">
        <v>1</v>
      </c>
      <c r="D5" s="16"/>
      <c r="E5" s="16"/>
      <c r="F5" s="17"/>
      <c r="G5" s="17"/>
      <c r="H5" s="17"/>
      <c r="I5" s="18"/>
      <c r="J5" s="18"/>
      <c r="K5" s="11"/>
      <c r="L5" s="11"/>
      <c r="M5" s="17"/>
      <c r="N5" s="17"/>
    </row>
    <row r="6" spans="1:18" x14ac:dyDescent="0.3">
      <c r="A6" t="s">
        <v>19</v>
      </c>
      <c r="B6" t="s">
        <v>20</v>
      </c>
      <c r="C6" s="11"/>
      <c r="D6" s="16"/>
      <c r="E6" s="16"/>
      <c r="F6" s="17"/>
      <c r="G6" s="17"/>
      <c r="H6" s="17">
        <v>4</v>
      </c>
      <c r="I6" s="18"/>
      <c r="J6" s="17"/>
      <c r="K6" s="17">
        <v>8</v>
      </c>
      <c r="L6" s="11"/>
      <c r="M6" s="17"/>
      <c r="N6" s="17"/>
      <c r="Q6">
        <f t="shared" si="0"/>
        <v>12</v>
      </c>
      <c r="R6">
        <f>Q6</f>
        <v>12</v>
      </c>
    </row>
    <row r="7" spans="1:18" x14ac:dyDescent="0.3">
      <c r="A7" t="s">
        <v>36</v>
      </c>
      <c r="B7" t="s">
        <v>37</v>
      </c>
      <c r="C7" s="11"/>
      <c r="D7" s="16"/>
      <c r="E7" s="16">
        <v>2</v>
      </c>
      <c r="F7" s="17"/>
      <c r="G7" s="17"/>
      <c r="H7" s="17"/>
      <c r="I7" s="18">
        <v>1</v>
      </c>
      <c r="J7" s="18"/>
      <c r="K7" s="11"/>
      <c r="L7" s="11"/>
      <c r="M7" s="17"/>
      <c r="N7" s="17"/>
      <c r="Q7">
        <f t="shared" si="0"/>
        <v>3</v>
      </c>
      <c r="R7">
        <f>Q7</f>
        <v>3</v>
      </c>
    </row>
    <row r="8" spans="1:18" x14ac:dyDescent="0.3">
      <c r="A8" t="s">
        <v>32</v>
      </c>
      <c r="B8" t="s">
        <v>49</v>
      </c>
      <c r="C8" s="11"/>
      <c r="D8" s="16"/>
      <c r="E8" s="16"/>
      <c r="F8" s="17"/>
      <c r="G8" s="17"/>
      <c r="H8" s="17"/>
      <c r="I8" s="18"/>
      <c r="J8" s="18"/>
      <c r="K8" s="22">
        <v>1</v>
      </c>
      <c r="L8" s="11"/>
      <c r="M8" s="17"/>
      <c r="N8" s="17"/>
      <c r="Q8">
        <f t="shared" si="0"/>
        <v>1</v>
      </c>
      <c r="R8">
        <f>Q8*2</f>
        <v>2</v>
      </c>
    </row>
    <row r="9" spans="1:18" x14ac:dyDescent="0.3">
      <c r="B9" t="s">
        <v>18</v>
      </c>
      <c r="C9" s="11"/>
      <c r="D9" s="16"/>
      <c r="E9" s="16"/>
      <c r="F9" s="17"/>
      <c r="G9" s="17"/>
      <c r="H9" s="17">
        <v>1</v>
      </c>
      <c r="I9" s="18"/>
      <c r="J9" s="18"/>
      <c r="K9" s="11"/>
      <c r="L9" s="11"/>
      <c r="M9" s="17"/>
      <c r="N9" s="17"/>
      <c r="Q9">
        <f t="shared" si="0"/>
        <v>1</v>
      </c>
      <c r="R9">
        <f>Q9*2</f>
        <v>2</v>
      </c>
    </row>
    <row r="10" spans="1:18" x14ac:dyDescent="0.3">
      <c r="B10" t="s">
        <v>33</v>
      </c>
      <c r="C10" s="11"/>
      <c r="D10" s="16"/>
      <c r="E10" s="16"/>
      <c r="F10" s="17">
        <v>1</v>
      </c>
      <c r="G10" s="17"/>
      <c r="H10" s="17"/>
      <c r="I10" s="18"/>
      <c r="J10" s="18"/>
      <c r="K10" s="11"/>
      <c r="L10" s="11"/>
      <c r="M10" s="17"/>
      <c r="N10" s="17"/>
      <c r="Q10">
        <f t="shared" si="0"/>
        <v>1</v>
      </c>
      <c r="R10">
        <f>Q10*5</f>
        <v>5</v>
      </c>
    </row>
    <row r="11" spans="1:18" x14ac:dyDescent="0.3">
      <c r="B11" t="s">
        <v>34</v>
      </c>
      <c r="C11" s="11"/>
      <c r="D11" s="16"/>
      <c r="E11" s="16"/>
      <c r="F11" s="17">
        <v>1</v>
      </c>
      <c r="G11" s="17"/>
      <c r="H11" s="17"/>
      <c r="I11" s="18"/>
      <c r="J11" s="18"/>
      <c r="K11" s="11"/>
      <c r="L11" s="11"/>
      <c r="M11" s="17"/>
      <c r="N11" s="17"/>
      <c r="Q11">
        <f t="shared" si="0"/>
        <v>1</v>
      </c>
      <c r="R11">
        <f>Q11*6</f>
        <v>6</v>
      </c>
    </row>
    <row r="12" spans="1:18" x14ac:dyDescent="0.3">
      <c r="A12" t="s">
        <v>11</v>
      </c>
      <c r="B12" t="s">
        <v>12</v>
      </c>
      <c r="C12" s="11"/>
      <c r="D12" s="16"/>
      <c r="E12" s="16"/>
      <c r="F12" s="17"/>
      <c r="G12" s="17"/>
      <c r="H12" s="17"/>
      <c r="I12" s="18"/>
      <c r="J12" s="18"/>
      <c r="K12" s="11">
        <v>8</v>
      </c>
      <c r="L12" s="11"/>
      <c r="M12" s="17"/>
      <c r="N12" s="17"/>
      <c r="Q12">
        <f t="shared" si="0"/>
        <v>8</v>
      </c>
      <c r="R12">
        <f t="shared" ref="R12:R18" si="1">Q12</f>
        <v>8</v>
      </c>
    </row>
    <row r="13" spans="1:18" x14ac:dyDescent="0.3">
      <c r="B13" t="s">
        <v>13</v>
      </c>
      <c r="C13" s="11">
        <v>1</v>
      </c>
      <c r="D13" s="16"/>
      <c r="E13" s="16"/>
      <c r="F13" s="17"/>
      <c r="G13" s="17"/>
      <c r="H13" s="17">
        <v>4</v>
      </c>
      <c r="I13" s="18"/>
      <c r="J13" s="18"/>
      <c r="K13" s="11">
        <v>8</v>
      </c>
      <c r="L13" s="11"/>
      <c r="M13" s="17"/>
      <c r="N13" s="17"/>
      <c r="Q13">
        <f t="shared" si="0"/>
        <v>13</v>
      </c>
      <c r="R13">
        <f t="shared" si="1"/>
        <v>13</v>
      </c>
    </row>
    <row r="14" spans="1:18" x14ac:dyDescent="0.3">
      <c r="B14" t="s">
        <v>14</v>
      </c>
      <c r="C14" s="11"/>
      <c r="D14" s="16"/>
      <c r="E14" s="16"/>
      <c r="F14" s="17"/>
      <c r="G14" s="17"/>
      <c r="H14" s="17"/>
      <c r="I14" s="18"/>
      <c r="J14" s="18"/>
      <c r="K14" s="11">
        <v>8</v>
      </c>
      <c r="L14" s="11"/>
      <c r="M14" s="17"/>
      <c r="N14" s="17"/>
      <c r="Q14">
        <f t="shared" si="0"/>
        <v>8</v>
      </c>
      <c r="R14">
        <f t="shared" si="1"/>
        <v>8</v>
      </c>
    </row>
    <row r="15" spans="1:18" x14ac:dyDescent="0.3">
      <c r="B15" t="s">
        <v>16</v>
      </c>
      <c r="C15" s="11">
        <v>1</v>
      </c>
      <c r="D15" s="16"/>
      <c r="E15" s="16"/>
      <c r="F15" s="17"/>
      <c r="G15" s="17"/>
      <c r="H15" s="17"/>
      <c r="I15" s="18"/>
      <c r="J15" s="18"/>
      <c r="K15" s="11">
        <v>8</v>
      </c>
      <c r="L15" s="11">
        <v>9</v>
      </c>
      <c r="M15" s="17"/>
      <c r="N15" s="17"/>
      <c r="Q15">
        <f t="shared" si="0"/>
        <v>18</v>
      </c>
      <c r="R15">
        <f t="shared" si="1"/>
        <v>18</v>
      </c>
    </row>
    <row r="16" spans="1:18" x14ac:dyDescent="0.3">
      <c r="A16" t="s">
        <v>15</v>
      </c>
      <c r="B16" t="s">
        <v>12</v>
      </c>
      <c r="C16" s="11"/>
      <c r="D16" s="16"/>
      <c r="E16" s="16">
        <v>1</v>
      </c>
      <c r="F16" s="17"/>
      <c r="G16" s="17"/>
      <c r="H16" s="17"/>
      <c r="I16" s="18"/>
      <c r="J16" s="18"/>
      <c r="K16" s="11"/>
      <c r="L16" s="11"/>
      <c r="M16" s="17"/>
      <c r="N16" s="17"/>
      <c r="Q16">
        <f t="shared" si="0"/>
        <v>1</v>
      </c>
      <c r="R16">
        <f t="shared" si="1"/>
        <v>1</v>
      </c>
    </row>
    <row r="17" spans="1:18" x14ac:dyDescent="0.3">
      <c r="B17" t="s">
        <v>13</v>
      </c>
      <c r="C17" s="11">
        <v>1</v>
      </c>
      <c r="D17" s="16"/>
      <c r="E17" s="16">
        <v>3</v>
      </c>
      <c r="F17" s="17"/>
      <c r="G17" s="17"/>
      <c r="H17" s="17"/>
      <c r="I17" s="18"/>
      <c r="J17" s="18"/>
      <c r="K17" s="11"/>
      <c r="L17" s="11"/>
      <c r="M17" s="17"/>
      <c r="N17" s="17"/>
      <c r="Q17">
        <f t="shared" si="0"/>
        <v>4</v>
      </c>
      <c r="R17">
        <f t="shared" si="1"/>
        <v>4</v>
      </c>
    </row>
    <row r="18" spans="1:18" x14ac:dyDescent="0.3">
      <c r="B18" t="s">
        <v>14</v>
      </c>
      <c r="C18" s="11"/>
      <c r="D18" s="16"/>
      <c r="E18" s="16"/>
      <c r="F18" s="17"/>
      <c r="G18" s="17"/>
      <c r="H18" s="17"/>
      <c r="I18" s="18"/>
      <c r="J18" s="18"/>
      <c r="K18" s="11"/>
      <c r="L18" s="11"/>
      <c r="M18" s="17"/>
      <c r="N18" s="17"/>
      <c r="Q18">
        <f t="shared" si="0"/>
        <v>0</v>
      </c>
      <c r="R18">
        <f t="shared" si="1"/>
        <v>0</v>
      </c>
    </row>
    <row r="19" spans="1:18" x14ac:dyDescent="0.3">
      <c r="A19" t="s">
        <v>95</v>
      </c>
      <c r="C19" s="11">
        <f>SUM(C2:C18)+C3</f>
        <v>14</v>
      </c>
      <c r="D19" s="16"/>
      <c r="E19" s="16">
        <f t="shared" ref="E19:P20" si="2">SUM(E2:E18)+E3</f>
        <v>14</v>
      </c>
      <c r="F19" s="17">
        <f>SUM(F2:F18)+F3+F10*4+F11*5</f>
        <v>23</v>
      </c>
      <c r="G19" s="17">
        <f t="shared" si="2"/>
        <v>0</v>
      </c>
      <c r="H19" s="17">
        <f>SUM(H2:H18)+H3-3</f>
        <v>6</v>
      </c>
      <c r="I19" s="18">
        <f t="shared" si="2"/>
        <v>2</v>
      </c>
      <c r="J19" s="18">
        <f>SUM(E19:I19)</f>
        <v>45</v>
      </c>
      <c r="K19" s="11">
        <v>11</v>
      </c>
      <c r="L19" s="11">
        <f t="shared" si="2"/>
        <v>12</v>
      </c>
      <c r="M19" s="17">
        <f>SUM(K19:L19)</f>
        <v>23</v>
      </c>
      <c r="N19" s="17"/>
      <c r="O19">
        <f t="shared" si="2"/>
        <v>5</v>
      </c>
      <c r="P19">
        <f t="shared" si="2"/>
        <v>16</v>
      </c>
    </row>
    <row r="20" spans="1:18" x14ac:dyDescent="0.3">
      <c r="A20" t="s">
        <v>96</v>
      </c>
      <c r="C20" s="11">
        <f>SUM(C2:C18)+C3</f>
        <v>14</v>
      </c>
      <c r="D20" s="16"/>
      <c r="E20" s="23">
        <f>SUM(E2:E18)+E3</f>
        <v>14</v>
      </c>
      <c r="F20" s="24">
        <f>SUM(F2:F18)+F3+F10*4+F11*5</f>
        <v>23</v>
      </c>
      <c r="G20" s="24">
        <f t="shared" si="2"/>
        <v>0</v>
      </c>
      <c r="H20" s="24">
        <v>1</v>
      </c>
      <c r="I20" s="25">
        <f>SUM(I2:I18)+I3</f>
        <v>2</v>
      </c>
      <c r="J20" s="25">
        <f>SUM(E20:I20)</f>
        <v>40</v>
      </c>
      <c r="K20" s="26">
        <v>5</v>
      </c>
      <c r="L20" s="26">
        <v>2</v>
      </c>
      <c r="M20" s="24">
        <f>SUM(K20:L20)</f>
        <v>7</v>
      </c>
      <c r="N20" s="17"/>
      <c r="O20">
        <f t="shared" si="2"/>
        <v>6</v>
      </c>
      <c r="P20">
        <f t="shared" si="2"/>
        <v>24</v>
      </c>
    </row>
    <row r="21" spans="1:18" x14ac:dyDescent="0.3">
      <c r="B21" t="s">
        <v>43</v>
      </c>
      <c r="C21" s="11">
        <v>30</v>
      </c>
      <c r="D21" s="16"/>
      <c r="E21" s="16">
        <v>45</v>
      </c>
      <c r="F21" s="17">
        <f>10+2</f>
        <v>12</v>
      </c>
      <c r="G21" s="17">
        <v>9</v>
      </c>
      <c r="H21" s="17">
        <f>4+2</f>
        <v>6</v>
      </c>
      <c r="I21" s="18"/>
      <c r="J21" s="18"/>
      <c r="K21" s="11"/>
      <c r="L21" s="11"/>
      <c r="M21" s="17"/>
      <c r="N21" s="17"/>
      <c r="Q21">
        <f t="shared" si="0"/>
        <v>102</v>
      </c>
      <c r="R21">
        <v>10</v>
      </c>
    </row>
    <row r="22" spans="1:18" x14ac:dyDescent="0.3">
      <c r="A22" t="s">
        <v>60</v>
      </c>
      <c r="B22" t="s">
        <v>47</v>
      </c>
      <c r="C22" s="11">
        <f t="shared" ref="C22:P22" si="3">C12+C15+C16</f>
        <v>1</v>
      </c>
      <c r="D22" s="16"/>
      <c r="E22" s="16">
        <f t="shared" si="3"/>
        <v>1</v>
      </c>
      <c r="F22" s="17">
        <f>K12+K15+F16</f>
        <v>16</v>
      </c>
      <c r="G22" s="17">
        <f>G12+G15+G16</f>
        <v>0</v>
      </c>
      <c r="H22" s="17">
        <f t="shared" si="3"/>
        <v>0</v>
      </c>
      <c r="I22" s="18">
        <f t="shared" si="3"/>
        <v>0</v>
      </c>
      <c r="J22" s="18"/>
      <c r="K22" s="11">
        <f t="shared" ref="K22" si="4">K12+K15+K16</f>
        <v>16</v>
      </c>
      <c r="L22" s="11">
        <f t="shared" si="3"/>
        <v>9</v>
      </c>
      <c r="M22" s="17"/>
      <c r="N22" s="17"/>
      <c r="O22">
        <f t="shared" si="3"/>
        <v>0</v>
      </c>
      <c r="P22">
        <f t="shared" si="3"/>
        <v>0</v>
      </c>
      <c r="Q22" s="1">
        <f t="shared" si="0"/>
        <v>43</v>
      </c>
    </row>
    <row r="23" spans="1:18" x14ac:dyDescent="0.3">
      <c r="B23" t="s">
        <v>48</v>
      </c>
      <c r="C23" s="11">
        <f t="shared" ref="C23:P23" si="5">C13+C14+C17+C18</f>
        <v>2</v>
      </c>
      <c r="D23" s="16"/>
      <c r="E23" s="16">
        <f t="shared" si="5"/>
        <v>3</v>
      </c>
      <c r="F23" s="17">
        <f>K13+K14+F17+F18</f>
        <v>16</v>
      </c>
      <c r="G23" s="17">
        <f t="shared" si="5"/>
        <v>0</v>
      </c>
      <c r="H23" s="17">
        <f t="shared" si="5"/>
        <v>4</v>
      </c>
      <c r="I23" s="18">
        <f t="shared" si="5"/>
        <v>0</v>
      </c>
      <c r="J23" s="18"/>
      <c r="K23" s="11">
        <f t="shared" ref="K23" si="6">K13+K14+K17+K18</f>
        <v>16</v>
      </c>
      <c r="L23" s="11">
        <f t="shared" si="5"/>
        <v>0</v>
      </c>
      <c r="M23" s="17"/>
      <c r="N23" s="17"/>
      <c r="O23">
        <f t="shared" si="5"/>
        <v>0</v>
      </c>
      <c r="P23">
        <f t="shared" si="5"/>
        <v>0</v>
      </c>
      <c r="Q23">
        <f t="shared" si="0"/>
        <v>41</v>
      </c>
    </row>
    <row r="24" spans="1:18" x14ac:dyDescent="0.3">
      <c r="B24" t="s">
        <v>53</v>
      </c>
      <c r="C24" s="11">
        <f t="shared" ref="C24:P24" si="7">C21/3</f>
        <v>10</v>
      </c>
      <c r="D24" s="16"/>
      <c r="E24" s="16">
        <f t="shared" si="7"/>
        <v>15</v>
      </c>
      <c r="F24" s="17">
        <f t="shared" si="7"/>
        <v>4</v>
      </c>
      <c r="G24" s="17">
        <f t="shared" si="7"/>
        <v>3</v>
      </c>
      <c r="H24" s="17">
        <f t="shared" si="7"/>
        <v>2</v>
      </c>
      <c r="I24" s="18">
        <f t="shared" si="7"/>
        <v>0</v>
      </c>
      <c r="J24" s="18"/>
      <c r="K24" s="11">
        <f t="shared" si="7"/>
        <v>0</v>
      </c>
      <c r="L24" s="11">
        <f t="shared" si="7"/>
        <v>0</v>
      </c>
      <c r="M24" s="17"/>
      <c r="N24" s="17"/>
      <c r="O24">
        <f t="shared" si="7"/>
        <v>0</v>
      </c>
      <c r="P24">
        <f t="shared" si="7"/>
        <v>0</v>
      </c>
      <c r="Q24">
        <f t="shared" si="0"/>
        <v>34</v>
      </c>
    </row>
    <row r="25" spans="1:18" x14ac:dyDescent="0.3">
      <c r="A25" t="s">
        <v>61</v>
      </c>
      <c r="B25">
        <v>220</v>
      </c>
      <c r="C25" s="11"/>
      <c r="D25" s="16"/>
      <c r="E25" s="16"/>
      <c r="F25" s="17"/>
      <c r="G25" s="17"/>
      <c r="H25" s="17">
        <v>4</v>
      </c>
      <c r="I25" s="18"/>
      <c r="J25" s="18"/>
      <c r="K25" s="11">
        <v>39</v>
      </c>
      <c r="L25" s="11"/>
      <c r="M25" s="17"/>
      <c r="N25" s="17"/>
      <c r="Q25">
        <f t="shared" si="0"/>
        <v>43</v>
      </c>
    </row>
    <row r="26" spans="1:18" x14ac:dyDescent="0.3">
      <c r="B26" t="s">
        <v>17</v>
      </c>
      <c r="C26" s="11"/>
      <c r="D26" s="16"/>
      <c r="E26" s="16"/>
      <c r="F26" s="17"/>
      <c r="G26" s="17"/>
      <c r="H26" s="17">
        <v>4</v>
      </c>
      <c r="I26" s="18"/>
      <c r="J26" s="18"/>
      <c r="K26" s="11"/>
      <c r="L26" s="11"/>
      <c r="M26" s="17"/>
      <c r="N26" s="17"/>
      <c r="Q26">
        <f t="shared" si="0"/>
        <v>4</v>
      </c>
    </row>
    <row r="27" spans="1:18" x14ac:dyDescent="0.3">
      <c r="B27" t="s">
        <v>18</v>
      </c>
      <c r="C27" s="11"/>
      <c r="D27" s="16"/>
      <c r="E27" s="16"/>
      <c r="F27" s="17"/>
      <c r="G27" s="17"/>
      <c r="H27" s="17">
        <v>1</v>
      </c>
      <c r="I27" s="18"/>
      <c r="J27" s="18"/>
      <c r="K27" s="11"/>
      <c r="L27" s="11"/>
      <c r="M27" s="17"/>
      <c r="N27" s="17"/>
      <c r="Q27">
        <f t="shared" si="0"/>
        <v>1</v>
      </c>
    </row>
    <row r="28" spans="1:18" x14ac:dyDescent="0.3">
      <c r="A28" t="s">
        <v>21</v>
      </c>
      <c r="B28" t="s">
        <v>22</v>
      </c>
      <c r="C28" s="11"/>
      <c r="D28" s="16"/>
      <c r="E28" s="16"/>
      <c r="F28" s="17"/>
      <c r="G28" s="17"/>
      <c r="H28" s="17"/>
      <c r="I28" s="18"/>
      <c r="J28" s="18"/>
      <c r="K28" s="11">
        <v>4</v>
      </c>
      <c r="L28" s="11"/>
      <c r="M28" s="17"/>
      <c r="N28" s="17"/>
      <c r="Q28">
        <f t="shared" si="0"/>
        <v>4</v>
      </c>
    </row>
    <row r="29" spans="1:18" x14ac:dyDescent="0.3">
      <c r="B29" t="s">
        <v>35</v>
      </c>
      <c r="C29" s="11"/>
      <c r="D29" s="16"/>
      <c r="E29" s="16"/>
      <c r="F29" s="17"/>
      <c r="G29" s="17"/>
      <c r="H29" s="17">
        <v>3</v>
      </c>
      <c r="I29" s="18">
        <v>1</v>
      </c>
      <c r="J29" s="18"/>
      <c r="K29" s="11"/>
      <c r="L29" s="11"/>
      <c r="M29" s="17"/>
      <c r="N29" s="17"/>
      <c r="Q29">
        <f t="shared" si="0"/>
        <v>4</v>
      </c>
    </row>
    <row r="30" spans="1:18" x14ac:dyDescent="0.3">
      <c r="B30" t="s">
        <v>42</v>
      </c>
      <c r="C30" s="11"/>
      <c r="D30" s="16"/>
      <c r="E30" s="16">
        <v>1</v>
      </c>
      <c r="F30" s="17"/>
      <c r="G30" s="17"/>
      <c r="H30" s="17"/>
      <c r="I30" s="18"/>
      <c r="J30" s="18"/>
      <c r="K30" s="11"/>
      <c r="L30" s="11"/>
      <c r="M30" s="17"/>
      <c r="N30" s="17"/>
      <c r="Q30">
        <f t="shared" si="0"/>
        <v>1</v>
      </c>
    </row>
    <row r="31" spans="1:18" x14ac:dyDescent="0.3">
      <c r="A31" t="s">
        <v>23</v>
      </c>
      <c r="B31" t="s">
        <v>24</v>
      </c>
      <c r="C31" s="11"/>
      <c r="D31" s="16"/>
      <c r="E31" s="16"/>
      <c r="F31" s="17"/>
      <c r="G31" s="17"/>
      <c r="H31" s="17">
        <v>3</v>
      </c>
      <c r="I31" s="18"/>
      <c r="J31" s="18"/>
      <c r="K31" s="11">
        <v>4</v>
      </c>
      <c r="L31" s="11"/>
      <c r="M31" s="17"/>
      <c r="N31" s="17"/>
      <c r="Q31">
        <f t="shared" si="0"/>
        <v>7</v>
      </c>
    </row>
    <row r="32" spans="1:18" x14ac:dyDescent="0.3">
      <c r="B32" t="s">
        <v>39</v>
      </c>
      <c r="C32" s="11"/>
      <c r="D32" s="16"/>
      <c r="E32" s="16"/>
      <c r="F32" s="17"/>
      <c r="G32" s="17"/>
      <c r="H32" s="17"/>
      <c r="I32" s="18">
        <v>1</v>
      </c>
      <c r="J32" s="18"/>
      <c r="K32" s="11"/>
      <c r="L32" s="11"/>
      <c r="M32" s="17"/>
      <c r="N32" s="17"/>
      <c r="Q32">
        <f t="shared" si="0"/>
        <v>1</v>
      </c>
    </row>
    <row r="33" spans="1:18" x14ac:dyDescent="0.3">
      <c r="B33" t="s">
        <v>38</v>
      </c>
      <c r="C33" s="11"/>
      <c r="D33" s="16"/>
      <c r="E33" s="16"/>
      <c r="F33" s="17"/>
      <c r="G33" s="17"/>
      <c r="H33" s="17"/>
      <c r="I33" s="18">
        <v>2</v>
      </c>
      <c r="J33" s="18"/>
      <c r="K33" s="11"/>
      <c r="L33" s="11"/>
      <c r="M33" s="17"/>
      <c r="N33" s="17"/>
      <c r="Q33">
        <f t="shared" si="0"/>
        <v>2</v>
      </c>
    </row>
    <row r="34" spans="1:18" x14ac:dyDescent="0.3">
      <c r="A34" t="s">
        <v>25</v>
      </c>
      <c r="B34" t="s">
        <v>26</v>
      </c>
      <c r="C34" s="11"/>
      <c r="D34" s="16"/>
      <c r="E34" s="16"/>
      <c r="F34" s="17"/>
      <c r="G34" s="17"/>
      <c r="H34" s="17"/>
      <c r="I34" s="18"/>
      <c r="J34" s="18"/>
      <c r="K34" s="11">
        <v>4</v>
      </c>
      <c r="L34" s="11"/>
      <c r="M34" s="17"/>
      <c r="N34" s="17"/>
      <c r="Q34">
        <f t="shared" si="0"/>
        <v>4</v>
      </c>
    </row>
    <row r="35" spans="1:18" x14ac:dyDescent="0.3">
      <c r="A35" t="s">
        <v>27</v>
      </c>
      <c r="B35" t="s">
        <v>28</v>
      </c>
      <c r="C35" s="11"/>
      <c r="D35" s="16"/>
      <c r="E35" s="16"/>
      <c r="F35" s="17"/>
      <c r="G35" s="17"/>
      <c r="H35" s="17"/>
      <c r="I35" s="18"/>
      <c r="J35" s="18"/>
      <c r="K35" s="11">
        <v>1</v>
      </c>
      <c r="L35" s="11"/>
      <c r="M35" s="17"/>
      <c r="N35" s="17"/>
      <c r="Q35">
        <f t="shared" si="0"/>
        <v>1</v>
      </c>
    </row>
    <row r="36" spans="1:18" x14ac:dyDescent="0.3">
      <c r="A36" t="s">
        <v>29</v>
      </c>
      <c r="C36" s="11"/>
      <c r="D36" s="16"/>
      <c r="E36" s="16"/>
      <c r="F36" s="17"/>
      <c r="G36" s="17"/>
      <c r="H36" s="17">
        <v>7</v>
      </c>
      <c r="I36" s="18"/>
      <c r="J36" s="18"/>
      <c r="K36" s="11">
        <v>6</v>
      </c>
      <c r="L36" s="11"/>
      <c r="M36" s="17"/>
      <c r="N36" s="17"/>
      <c r="Q36">
        <f t="shared" si="0"/>
        <v>13</v>
      </c>
    </row>
    <row r="37" spans="1:18" x14ac:dyDescent="0.3">
      <c r="A37" t="s">
        <v>52</v>
      </c>
      <c r="C37" s="11"/>
      <c r="D37" s="16"/>
      <c r="E37" s="16"/>
      <c r="F37" s="17"/>
      <c r="G37" s="17"/>
      <c r="H37" s="17"/>
      <c r="I37" s="18"/>
      <c r="J37" s="18"/>
      <c r="K37" s="11"/>
      <c r="L37" s="11"/>
      <c r="M37" s="17"/>
      <c r="N37" s="17"/>
      <c r="R37">
        <f>SUM(R2:R36)</f>
        <v>153</v>
      </c>
    </row>
    <row r="38" spans="1:18" x14ac:dyDescent="0.3">
      <c r="A38" t="s">
        <v>40</v>
      </c>
      <c r="B38" t="s">
        <v>41</v>
      </c>
      <c r="C38" s="12"/>
      <c r="D38" s="19"/>
      <c r="E38" s="19">
        <v>3</v>
      </c>
      <c r="F38" s="20"/>
      <c r="G38" s="20"/>
      <c r="H38" s="20"/>
      <c r="I38" s="21"/>
      <c r="J38" s="21"/>
      <c r="K38" s="12"/>
      <c r="L38" s="12"/>
      <c r="M38" s="17"/>
      <c r="N38" s="17"/>
      <c r="Q38">
        <f>SUM(C38:P38)</f>
        <v>3</v>
      </c>
    </row>
    <row r="40" spans="1:18" x14ac:dyDescent="0.3">
      <c r="C40" t="s">
        <v>94</v>
      </c>
      <c r="E40">
        <f>SUM(E19:I19)</f>
        <v>45</v>
      </c>
      <c r="K40">
        <v>4</v>
      </c>
      <c r="L40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F7118-E761-499A-B582-C38D97239593}">
  <dimension ref="A2:I29"/>
  <sheetViews>
    <sheetView workbookViewId="0">
      <selection activeCell="I27" sqref="I27"/>
    </sheetView>
  </sheetViews>
  <sheetFormatPr defaultRowHeight="16.5" x14ac:dyDescent="0.3"/>
  <cols>
    <col min="2" max="2" width="15.375" bestFit="1" customWidth="1"/>
    <col min="3" max="3" width="15.875" bestFit="1" customWidth="1"/>
    <col min="4" max="4" width="13.375" bestFit="1" customWidth="1"/>
    <col min="5" max="5" width="8.375" bestFit="1" customWidth="1"/>
    <col min="6" max="6" width="9.375" bestFit="1" customWidth="1"/>
    <col min="7" max="7" width="8.375" customWidth="1"/>
  </cols>
  <sheetData>
    <row r="2" spans="1:9" x14ac:dyDescent="0.3">
      <c r="C2" t="s">
        <v>64</v>
      </c>
      <c r="D2" t="s">
        <v>63</v>
      </c>
      <c r="E2" t="s">
        <v>68</v>
      </c>
    </row>
    <row r="3" spans="1:9" x14ac:dyDescent="0.3">
      <c r="A3" t="s">
        <v>58</v>
      </c>
      <c r="B3" t="s">
        <v>54</v>
      </c>
      <c r="C3" t="s">
        <v>46</v>
      </c>
      <c r="D3" t="s">
        <v>56</v>
      </c>
      <c r="E3">
        <f>3/0.02</f>
        <v>150</v>
      </c>
    </row>
    <row r="4" spans="1:9" x14ac:dyDescent="0.3">
      <c r="C4" t="s">
        <v>45</v>
      </c>
      <c r="D4" t="s">
        <v>56</v>
      </c>
      <c r="E4">
        <f>2/0.02</f>
        <v>100</v>
      </c>
    </row>
    <row r="7" spans="1:9" x14ac:dyDescent="0.3">
      <c r="C7" t="s">
        <v>82</v>
      </c>
      <c r="D7" s="6">
        <v>0.85</v>
      </c>
    </row>
    <row r="8" spans="1:9" x14ac:dyDescent="0.3">
      <c r="C8" t="s">
        <v>87</v>
      </c>
      <c r="D8">
        <v>50</v>
      </c>
    </row>
    <row r="10" spans="1:9" x14ac:dyDescent="0.3">
      <c r="D10" t="s">
        <v>86</v>
      </c>
      <c r="E10" t="s">
        <v>83</v>
      </c>
      <c r="F10" t="s">
        <v>84</v>
      </c>
      <c r="G10" t="s">
        <v>85</v>
      </c>
    </row>
    <row r="11" spans="1:9" ht="33" x14ac:dyDescent="0.3">
      <c r="C11" s="2" t="s">
        <v>67</v>
      </c>
      <c r="D11">
        <v>500</v>
      </c>
      <c r="E11" s="8">
        <f>5*(D11-D8)</f>
        <v>2250</v>
      </c>
      <c r="F11" s="8">
        <f>E11*D7</f>
        <v>1912.5</v>
      </c>
      <c r="G11" s="8">
        <f>F11/12</f>
        <v>159.375</v>
      </c>
    </row>
    <row r="12" spans="1:9" ht="33" x14ac:dyDescent="0.3">
      <c r="C12" s="2" t="s">
        <v>72</v>
      </c>
      <c r="D12">
        <v>900</v>
      </c>
      <c r="E12" s="8">
        <f>5*(D12-D8)</f>
        <v>4250</v>
      </c>
      <c r="F12" s="8">
        <f>E12*D7</f>
        <v>3612.5</v>
      </c>
      <c r="G12" s="8">
        <f>F12/12</f>
        <v>301.04166666666669</v>
      </c>
    </row>
    <row r="13" spans="1:9" x14ac:dyDescent="0.3">
      <c r="C13" s="2"/>
      <c r="G13" s="7"/>
    </row>
    <row r="14" spans="1:9" ht="33" x14ac:dyDescent="0.3">
      <c r="F14" s="2" t="s">
        <v>70</v>
      </c>
      <c r="G14" s="2" t="s">
        <v>88</v>
      </c>
      <c r="H14" s="2" t="s">
        <v>89</v>
      </c>
      <c r="I14" t="s">
        <v>69</v>
      </c>
    </row>
    <row r="15" spans="1:9" x14ac:dyDescent="0.3">
      <c r="A15" t="s">
        <v>57</v>
      </c>
      <c r="B15" t="s">
        <v>55</v>
      </c>
      <c r="C15" t="s">
        <v>45</v>
      </c>
      <c r="D15" t="s">
        <v>62</v>
      </c>
      <c r="E15">
        <v>120</v>
      </c>
      <c r="F15">
        <v>20</v>
      </c>
      <c r="G15" s="8">
        <f>($G$11/F15-1)*3</f>
        <v>20.90625</v>
      </c>
      <c r="H15" s="4">
        <f>($G$12/F15-1)*3</f>
        <v>42.15625</v>
      </c>
      <c r="I15" t="s">
        <v>66</v>
      </c>
    </row>
    <row r="16" spans="1:9" x14ac:dyDescent="0.3">
      <c r="E16" s="3">
        <v>150</v>
      </c>
      <c r="F16" s="3">
        <v>16</v>
      </c>
      <c r="G16" s="9">
        <f t="shared" ref="G16:G18" si="0">($G$11/F16-1)*3</f>
        <v>26.8828125</v>
      </c>
      <c r="H16" s="5">
        <f t="shared" ref="H16:H18" si="1">($G$12/F16-1)*3</f>
        <v>53.4453125</v>
      </c>
      <c r="I16" s="3" t="s">
        <v>71</v>
      </c>
    </row>
    <row r="17" spans="3:9" x14ac:dyDescent="0.3">
      <c r="E17" s="3">
        <v>200</v>
      </c>
      <c r="F17" s="3">
        <v>12</v>
      </c>
      <c r="G17" s="9">
        <f t="shared" si="0"/>
        <v>36.84375</v>
      </c>
      <c r="H17" s="5">
        <f t="shared" si="1"/>
        <v>72.260416666666671</v>
      </c>
    </row>
    <row r="18" spans="3:9" x14ac:dyDescent="0.3">
      <c r="E18" s="3">
        <v>250</v>
      </c>
      <c r="F18" s="3">
        <v>10</v>
      </c>
      <c r="G18" s="9">
        <f t="shared" si="0"/>
        <v>44.8125</v>
      </c>
      <c r="H18" s="5">
        <f t="shared" si="1"/>
        <v>87.3125</v>
      </c>
      <c r="I18" s="3" t="s">
        <v>65</v>
      </c>
    </row>
    <row r="20" spans="3:9" x14ac:dyDescent="0.3">
      <c r="D20" t="s">
        <v>73</v>
      </c>
      <c r="E20" s="3">
        <v>30</v>
      </c>
      <c r="I20" s="3" t="s">
        <v>90</v>
      </c>
    </row>
    <row r="22" spans="3:9" x14ac:dyDescent="0.3">
      <c r="C22" t="s">
        <v>80</v>
      </c>
      <c r="D22" t="s">
        <v>75</v>
      </c>
      <c r="E22">
        <v>45</v>
      </c>
    </row>
    <row r="23" spans="3:9" x14ac:dyDescent="0.3">
      <c r="D23" t="s">
        <v>74</v>
      </c>
      <c r="E23">
        <f>10+2</f>
        <v>12</v>
      </c>
    </row>
    <row r="24" spans="3:9" x14ac:dyDescent="0.3">
      <c r="D24" t="s">
        <v>76</v>
      </c>
      <c r="E24">
        <v>9</v>
      </c>
    </row>
    <row r="25" spans="3:9" x14ac:dyDescent="0.3">
      <c r="D25" t="s">
        <v>77</v>
      </c>
      <c r="E25">
        <f>4+2</f>
        <v>6</v>
      </c>
    </row>
    <row r="26" spans="3:9" x14ac:dyDescent="0.3">
      <c r="E26" s="3">
        <f>SUM(E22:E25)</f>
        <v>72</v>
      </c>
      <c r="I26" s="3" t="s">
        <v>92</v>
      </c>
    </row>
    <row r="27" spans="3:9" x14ac:dyDescent="0.3">
      <c r="C27" t="s">
        <v>81</v>
      </c>
      <c r="D27" t="s">
        <v>78</v>
      </c>
      <c r="E27">
        <v>8</v>
      </c>
    </row>
    <row r="28" spans="3:9" x14ac:dyDescent="0.3">
      <c r="D28" t="s">
        <v>79</v>
      </c>
      <c r="E28">
        <v>13</v>
      </c>
    </row>
    <row r="29" spans="3:9" x14ac:dyDescent="0.3">
      <c r="E29" s="3">
        <f>SUM(E27:E28)</f>
        <v>21</v>
      </c>
      <c r="I29" s="3" t="s">
        <v>91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HongYeon Kim</dc:creator>
  <cp:lastModifiedBy>HongYeon Kim</cp:lastModifiedBy>
  <dcterms:created xsi:type="dcterms:W3CDTF">2015-06-05T18:19:34Z</dcterms:created>
  <dcterms:modified xsi:type="dcterms:W3CDTF">2026-03-10T08:16:58Z</dcterms:modified>
</cp:coreProperties>
</file>